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syadi/Downloads/"/>
    </mc:Choice>
  </mc:AlternateContent>
  <xr:revisionPtr revIDLastSave="0" documentId="13_ncr:1_{A4FA029F-2B22-6043-B2BE-3A8AA972BBD1}" xr6:coauthVersionLast="47" xr6:coauthVersionMax="47" xr10:uidLastSave="{00000000-0000-0000-0000-000000000000}"/>
  <bookViews>
    <workbookView xWindow="0" yWindow="600" windowWidth="51200" windowHeight="26520" tabRatio="500" xr2:uid="{00000000-000D-0000-FFFF-FFFF00000000}"/>
  </bookViews>
  <sheets>
    <sheet name="Penilaian" sheetId="1" r:id="rId1"/>
    <sheet name="Rubri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K12" i="1"/>
  <c r="K11" i="1"/>
  <c r="K10" i="1"/>
  <c r="K9" i="1"/>
  <c r="K8" i="1"/>
  <c r="K7" i="1"/>
  <c r="K6" i="1"/>
  <c r="J13" i="1" l="1"/>
  <c r="K13" i="1"/>
  <c r="K5" i="1"/>
</calcChain>
</file>

<file path=xl/sharedStrings.xml><?xml version="1.0" encoding="utf-8"?>
<sst xmlns="http://schemas.openxmlformats.org/spreadsheetml/2006/main" count="146" uniqueCount="123">
  <si>
    <t>PENILAIAN FINAL PROJECT — TEKNOLOGI BIG DATA  |  Kelas B  |  ITS 2025/2026</t>
  </si>
  <si>
    <t>Bobot →</t>
  </si>
  <si>
    <t>15%</t>
  </si>
  <si>
    <t>20%</t>
  </si>
  <si>
    <t>25%</t>
  </si>
  <si>
    <t>10%</t>
  </si>
  <si>
    <t>Bonus</t>
  </si>
  <si>
    <t>No</t>
  </si>
  <si>
    <t>Kelompok &amp; Judul Proyek</t>
  </si>
  <si>
    <t>K1
Identifikasi
Masalah</t>
  </si>
  <si>
    <t>K2
Desain
Infrastruktur</t>
  </si>
  <si>
    <t>K3
Data
Lakehouse</t>
  </si>
  <si>
    <t>K4
Teknik
Analisis</t>
  </si>
  <si>
    <t>K5
Inovasi
Solusi</t>
  </si>
  <si>
    <t>K6
Demo
Sistem</t>
  </si>
  <si>
    <t>Gemastik
2026
(+5)</t>
  </si>
  <si>
    <t>NILAI
AKHIR</t>
  </si>
  <si>
    <t>HURUF
MUTU</t>
  </si>
  <si>
    <t>Catatan Penilai</t>
  </si>
  <si>
    <t>CPMK →  |  → Lihat sheet 'Rubrik' untuk deskriptor lengkap tiap level nilai</t>
  </si>
  <si>
    <t>CPMK-1</t>
  </si>
  <si>
    <t>CPMK-2</t>
  </si>
  <si>
    <t>CPMK-3</t>
  </si>
  <si>
    <t>CPMK-4</t>
  </si>
  <si>
    <t>CPMK 1-4</t>
  </si>
  <si>
    <t>CPMK 2-4</t>
  </si>
  <si>
    <t>Tidak</t>
  </si>
  <si>
    <t>Rata-rata Kelas</t>
  </si>
  <si>
    <t>Isi sel KUNING (0–100) dan dropdown BONUS.  Nilai Akhir = Σ(Nilai×Bobot) + Bonus [maks 100].  Deskriptor tiap komponen → lihat sheet 'Rubrik'  |  A≥90  AB≥80  B≥75  BC≥70  C≥65  D&lt;65</t>
  </si>
  <si>
    <t>RUBRIK PENILAIAN FINAL PROJECT — TEKNOLOGI BIG DATA  |  Kelas B  |  ITS 2025/2026</t>
  </si>
  <si>
    <t>Referensi ini menjelaskan apa yang dinilai di setiap komponen dan bagaimana cara membedakan level nilai.  Gunakan bersama sheet 'Penilaian' saat mengisi nilai kelompok.</t>
  </si>
  <si>
    <t xml:space="preserve">  Komponen Penilaian &amp; Deskriptor Level</t>
  </si>
  <si>
    <t>CPMK</t>
  </si>
  <si>
    <t>Komponen &amp; Bobot</t>
  </si>
  <si>
    <t>Skor</t>
  </si>
  <si>
    <t>Sangat Baik  90–100</t>
  </si>
  <si>
    <t>Baik  75–89</t>
  </si>
  <si>
    <t>Cukup  60–74</t>
  </si>
  <si>
    <t>Kurang  &lt;60</t>
  </si>
  <si>
    <t>1</t>
  </si>
  <si>
    <t>Identifikasi Masalah
&amp; Relevansi Big Data
(15%)</t>
  </si>
  <si>
    <t>• Masalah dibuktikan dengan data kuantitatif terkini: statistik resmi, berita valid, atau dataset publik
• Menjelaskan mengapa Big Data diperlukan menggunakan kerangka 5V (Volume, Velocity, Variety, Veracity, Value) dengan tepat
• Analisis gap menunjukkan masalah belum terselesaikan oleh solusi yang ada</t>
  </si>
  <si>
    <t>• Masalah jelas dan relevan, disertai bukti yang memadai (berita atau referensi)
• Keterkaitan dengan Big Data dijelaskan, meski belum semua dimensi 5V dipetakan
• Ada gambaran singkat tentang solusi yang sudah ada</t>
  </si>
  <si>
    <t>• Masalah diidentifikasi secara umum tanpa data pendukung yang kuat
• Big Data disebutkan tapi belum diintegrasikan ke konteks masalah
• Tidak ada analisis solusi yang sudah ada</t>
  </si>
  <si>
    <t>• Masalah tidak jelas, tidak relevan, atau tidak membutuhkan Big Data
• Tidak ada keterkaitan dengan konsep 5V
• Permasalahan bisa diselesaikan dengan sistem biasa (non Big Data)</t>
  </si>
  <si>
    <t>2</t>
  </si>
  <si>
    <t>Desain Infrastruktur
Big Data
(20%)</t>
  </si>
  <si>
    <t>• Pipeline lengkap mencakup semua layer: Ingestion (Kafka/Flume), Storage (HDFS/S3/NoSQL), Processing (Spark/Flink), Serving
• Setiap teknologi dipilih dengan justifikasi teknis eksplisit (misal: Kafka untuk throughput tinggi, Spark untuk in-memory processing)
• Diagram arsitektur detail, akurat, dan menunjukkan alur data end-to-end</t>
  </si>
  <si>
    <t>• Pipeline mencakup ≥3 layer utama dengan penjelasan yang cukup
• Teknologi dipilih dengan alasan yang masuk akal meski kurang detail
• Diagram arsitektur ada namun tidak lengkap</t>
  </si>
  <si>
    <t>• Hanya menyebut 1–2 teknologi Big Data tanpa penjelasan pipeline
• Pemilihan teknologi tanpa justifikasi
• Tidak ada diagram arsitektur</t>
  </si>
  <si>
    <t>• Tidak ada rancangan infrastruktur yang jelas
• Teknologi yang dipilih tidak tepat atau tidak ada kaitan dengan Big Data
• Tidak ada pertimbangan scalability atau fault tolerance</t>
  </si>
  <si>
    <t>3</t>
  </si>
  <si>
    <t>Implementasi
Data Lakehouse
(20%)</t>
  </si>
  <si>
    <t>• Menerapkan arsitektur Medallion (Bronze → Silver → Gold) atau struktur lakehouse yang setara secara eksplisit
• Proses transformasi data di setiap layer didefinisikan dengan jelas (raw → cleaned → aggregated)
• Format dan partisi penyimpanan dipertimbangkan (Parquet, Delta Lake, partisi per tanggal/wilayah)</t>
  </si>
  <si>
    <t>• Ada pemisahan minimal 2 layer (raw vs processed) dengan proses transformasi yang dijelaskan
• Format penyimpanan diperhatikan meski belum optimal
• Konsep lakehouse teraplikasikan walau tidak menggunakan istilah Medallion</t>
  </si>
  <si>
    <t>• Konsep lakehouse disebutkan namun tidak diimplementasikan secara terstruktur
• Hanya ada satu layer atau tidak ada pemisahan raw vs processed data
• Format penyimpanan tidak dipertimbangkan</t>
  </si>
  <si>
    <t>• Tidak ada struktur Data Lakehouse
• Data langsung diproses tanpa storage layer yang terorganisir
• Tidak ada konsep pemisahan data berdasarkan tingkat kebersihan/agregasi</t>
  </si>
  <si>
    <t>4</t>
  </si>
  <si>
    <t>Teknik Analisis
&amp; Kualitas Output
(25%)</t>
  </si>
  <si>
    <t>• Menerapkan ≥2 teknik analisis lanjutan: ML/forecasting, clustering spasial, anomaly detection, NLP, atau Computer Vision
• Output terukur dan spesifik: index/score, prediksi dengan horizon waktu, estimasi dampak kuantitatif
• Metode evaluasi model dijelaskan dengan jelas (AUC, RMSE, F1-score) dan validasi memadai (train/test split, cross-validation)</t>
  </si>
  <si>
    <t>• Menerapkan 1 teknik analisis lanjutan dengan hasil yang dapat diukur
• Output memiliki metrik yang jelas
• Evaluasi model disebutkan meski tidak detail</t>
  </si>
  <si>
    <t>• Analisis terbatas pada statistik deskriptif atau visualisasi dasar (grafik, tabel)
• Output berupa dashboard tanpa insight analitik yang terukur
• Tidak ada evaluasi model</t>
  </si>
  <si>
    <t>• Tidak ada teknik analisis data yang bermakna
• Output hanya menampilkan data mentah tanpa proses analisis
• Tidak ada insight yang bisa diambil dari sistem</t>
  </si>
  <si>
    <t>5</t>
  </si>
  <si>
    <t>Keunikan
&amp; Inovasi Solusi
(10%)</t>
  </si>
  <si>
    <t>• Menggabungkan ≥3 teknologi secara sinergis (contoh: Computer Vision + Kafka Streaming + GIS)
• Analisis kompetitor menunjukkan dengan jelas mengapa solusi ini lebih baik atau berbeda
• Mengatasi gap yang benar-benar belum diselesaikan oleh solusi yang ada</t>
  </si>
  <si>
    <t>• Menggabungkan 2 teknologi dengan pendekatan yang cukup unik
• Ada identifikasi pembeda dari solusi eksisting meski kurang mendalam
• Inovasi ada namun incremental, bukan breakthrough</t>
  </si>
  <si>
    <t>• Kombinasi teknologi yang umum dan sudah banyak digunakan
• Tidak ada analisis perbandingan dengan solusi yang sudah ada
• Solusi tidak memberikan nilai tambah yang jelas</t>
  </si>
  <si>
    <t>• Solusi sangat umum dan tidak ada unsur kebaruan
• Merupakan duplikasi solusi yang sudah ada tanpa modifikasi
• Tidak bisa menjelaskan perbedaan dengan sistem yang sudah ada</t>
  </si>
  <si>
    <t>6</t>
  </si>
  <si>
    <t>Implementasi
&amp; Demo Sistem
(10%)</t>
  </si>
  <si>
    <t>• Sistem berjalan end-to-end dengan pipeline data aktif (bukan mock atau dummy statis)
• Demo menggunakan data real atau simulasi yang realistis dan representatif
• Sistem menangani kondisi error, data kosong, atau fallback secara graceful</t>
  </si>
  <si>
    <t>• Sebagian besar fitur utama berfungsi dan dapat didemonstrasikan
• Demo berjalan lancar meski menggunakan data dummy atau skenario terbatas
• Ada beberapa fitur yang belum selesai namun tidak mengganggu alur utama</t>
  </si>
  <si>
    <t>• Sistem hanya berjalan sebagian atau masih berupa prototipe awal
• Demo membutuhkan banyak penyesuaian manual atau sering error
• Banyak fitur utama yang belum berfungsi</t>
  </si>
  <si>
    <t>• Sistem tidak dapat didemonstrasikan atau tidak berjalan sama sekali
• Hanya berupa mockup/wireframe tanpa implementasi nyata
• Tidak ada kode atau pipeline yang bisa dijalankan</t>
  </si>
  <si>
    <t xml:space="preserve">  Skala Nilai &amp; Konversi Huruf Mutu</t>
  </si>
  <si>
    <t>Rentang</t>
  </si>
  <si>
    <t>Huruf</t>
  </si>
  <si>
    <t>Bobot Mutu</t>
  </si>
  <si>
    <t>Predikat</t>
  </si>
  <si>
    <t>Karakteristik Umum</t>
  </si>
  <si>
    <t>90 – 100</t>
  </si>
  <si>
    <t>A</t>
  </si>
  <si>
    <t>4.0</t>
  </si>
  <si>
    <t>Istimewa</t>
  </si>
  <si>
    <t>Semua komponen dikerjakan sangat baik. Infrastruktur matang, analisis mendalam, sistem berjalan end-to-end, dan inovasi tinggi.</t>
  </si>
  <si>
    <t>80 – 89</t>
  </si>
  <si>
    <t>AB</t>
  </si>
  <si>
    <t>3.5</t>
  </si>
  <si>
    <t>Sangat Baik</t>
  </si>
  <si>
    <t>Sebagian besar komponen sangat baik. Ada 1–2 area yang bisa diperkuat namun tidak mengurangi kualitas keseluruhan secara signifikan.</t>
  </si>
  <si>
    <t>75 – 79</t>
  </si>
  <si>
    <t>B</t>
  </si>
  <si>
    <t>3.0</t>
  </si>
  <si>
    <t>Baik</t>
  </si>
  <si>
    <t>Memenuhi semua komponen dengan kualitas yang baik. Beberapa aspek teknis atau analisis masih bisa diperdalam.</t>
  </si>
  <si>
    <t>70 – 74</t>
  </si>
  <si>
    <t>BC</t>
  </si>
  <si>
    <t>2.5</t>
  </si>
  <si>
    <t>Cukup Baik</t>
  </si>
  <si>
    <t>Memenuhi sebagian besar komponen. Output ada namun belum terukur, atau implementasi belum selesai sepenuhnya.</t>
  </si>
  <si>
    <t>65 – 69</t>
  </si>
  <si>
    <t>C</t>
  </si>
  <si>
    <t>2.0</t>
  </si>
  <si>
    <t>Cukup</t>
  </si>
  <si>
    <t>Memenuhi syarat minimum. Banyak komponen yang masih dangkal, analisis terbatas pada deskriptif, atau pipeline tidak lengkap.</t>
  </si>
  <si>
    <t>&lt; 65</t>
  </si>
  <si>
    <t>D</t>
  </si>
  <si>
    <t>&lt; 2.0</t>
  </si>
  <si>
    <t>Kurang</t>
  </si>
  <si>
    <t>Tidak memenuhi syarat minimum. Tidak ada implementasi nyata, masalah tidak relevan, atau sistem tidak dapat didemonstrasikan.</t>
  </si>
  <si>
    <t xml:space="preserve">  Poin Bonus</t>
  </si>
  <si>
    <t>Syarat</t>
  </si>
  <si>
    <t>Smart City (+5)</t>
  </si>
  <si>
    <t>Topik berfokus pada permasalahan kota (transportasi, lingkungan, infrastruktur) dengan solusi data-driven yang dapat diintegrasikan ke ekosistem Smart City. Ditandai dengan relevansi terhadap kebijakan kota dan potensi adopsi nyata.</t>
  </si>
  <si>
    <t>Gemastik 2026 (+5)</t>
  </si>
  <si>
    <t>Tim memiliki rencana konkret mengikuti Gemastik 2026, dibuktikan dengan proposal lomba atau outline submission yang sudah disiapkan. Nilai diberikan bukan hanya karena niat, tetapi ada artefak nyata (dokumen proposal).</t>
  </si>
  <si>
    <t xml:space="preserve">  Tips untuk Penilai</t>
  </si>
  <si>
    <t>1.  Gunakan deskriptor sebagai anchor, bukan checklist kaku. Nilai bisa berada di antara dua level jika kualitas kerja berada di tengah-tengah.</t>
  </si>
  <si>
    <t>2.  Komponen K4 (Teknik Analisis, bobot 25%) adalah penentu terbesar — berikan perhatian lebih saat menilai kedalaman analisis dan kualitas output.</t>
  </si>
  <si>
    <t>3.  Untuk output 'terukur': pastikan ada angka spesifik (index, skor, persentase akurasi) — bukan hanya klaim kualitatif seperti 'sistem berhasil mendeteksi pelanggaran'.</t>
  </si>
  <si>
    <t>4.  Jika ragu antara dua level, tulis catatan di kolom 'Catatan Penilai' pada sheet Penilaian untuk didiskusikan dengan dosen.</t>
  </si>
  <si>
    <t>5.  Bonus Smart City dan Gemastik bersifat independen — tim bisa mendapat keduanya (total +10) jika memenuhi kedua syarat.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</si>
</sst>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444444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i/>
      <sz val="7"/>
      <color rgb="FF1565C0"/>
      <name val="Arial"/>
      <family val="2"/>
    </font>
    <font>
      <i/>
      <sz val="8"/>
      <color rgb="FF2E5FA3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8B6914"/>
      <name val="Arial"/>
      <family val="2"/>
    </font>
    <font>
      <b/>
      <sz val="12"/>
      <color rgb="FF1B5E20"/>
      <name val="Arial"/>
      <family val="2"/>
    </font>
    <font>
      <b/>
      <sz val="11"/>
      <color rgb="FF1B5E20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color rgb="FF1B5E20"/>
      <name val="Arial"/>
      <family val="2"/>
    </font>
    <font>
      <b/>
      <sz val="9"/>
      <color rgb="FF1B5E20"/>
      <name val="Arial"/>
      <family val="2"/>
    </font>
    <font>
      <i/>
      <sz val="8"/>
      <color rgb="FF555555"/>
      <name val="Arial"/>
      <family val="2"/>
    </font>
    <font>
      <i/>
      <sz val="9"/>
      <color rgb="FF444444"/>
      <name val="Arial"/>
      <family val="2"/>
    </font>
    <font>
      <b/>
      <sz val="11"/>
      <color rgb="FFFFFFFF"/>
      <name val="Arial"/>
      <family val="2"/>
    </font>
    <font>
      <i/>
      <sz val="9"/>
      <color rgb="FF2E5FA3"/>
      <name val="Arial"/>
      <family val="2"/>
    </font>
    <font>
      <b/>
      <sz val="9"/>
      <color rgb="FF000000"/>
      <name val="Arial"/>
      <family val="2"/>
    </font>
    <font>
      <b/>
      <sz val="9"/>
      <color rgb="FF2E5FA3"/>
      <name val="Arial"/>
      <family val="2"/>
    </font>
    <font>
      <b/>
      <sz val="12"/>
      <color rgb="FF000000"/>
      <name val="Arial"/>
      <family val="2"/>
    </font>
    <font>
      <i/>
      <sz val="9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2E5FA3"/>
        <bgColor rgb="FF1565C0"/>
      </patternFill>
    </fill>
    <fill>
      <patternFill patternType="solid">
        <fgColor rgb="FFD6E4F0"/>
        <bgColor rgb="FFEDE7F6"/>
      </patternFill>
    </fill>
    <fill>
      <patternFill patternType="solid">
        <fgColor rgb="FFE65100"/>
        <bgColor rgb="FFB71C1C"/>
      </patternFill>
    </fill>
    <fill>
      <patternFill patternType="solid">
        <fgColor rgb="FF1B5E20"/>
        <bgColor rgb="FF444444"/>
      </patternFill>
    </fill>
    <fill>
      <patternFill patternType="solid">
        <fgColor rgb="FFFFFFFF"/>
        <bgColor rgb="FFF5F8FC"/>
      </patternFill>
    </fill>
    <fill>
      <patternFill patternType="solid">
        <fgColor rgb="FFFFFDE7"/>
        <bgColor rgb="FFFFF8E1"/>
      </patternFill>
    </fill>
    <fill>
      <patternFill patternType="solid">
        <fgColor rgb="FFFFF3CD"/>
        <bgColor rgb="FFFFF8E1"/>
      </patternFill>
    </fill>
    <fill>
      <patternFill patternType="solid">
        <fgColor rgb="FFE8F5E9"/>
        <bgColor rgb="FFE3F2FD"/>
      </patternFill>
    </fill>
    <fill>
      <patternFill patternType="solid">
        <fgColor rgb="FFF5F8FC"/>
        <bgColor rgb="FFFFFFFF"/>
      </patternFill>
    </fill>
    <fill>
      <patternFill patternType="solid">
        <fgColor rgb="FF1565C0"/>
        <bgColor rgb="FF2E5FA3"/>
      </patternFill>
    </fill>
    <fill>
      <patternFill patternType="solid">
        <fgColor rgb="FF6A1E55"/>
        <bgColor rgb="FF800080"/>
      </patternFill>
    </fill>
    <fill>
      <patternFill patternType="solid">
        <fgColor rgb="FFB71C1C"/>
        <bgColor rgb="FF993366"/>
      </patternFill>
    </fill>
    <fill>
      <patternFill patternType="solid">
        <fgColor rgb="FFE3F2FD"/>
        <bgColor rgb="FFE8F5E9"/>
      </patternFill>
    </fill>
    <fill>
      <patternFill patternType="solid">
        <fgColor rgb="FFFFF8E1"/>
        <bgColor rgb="FFFFFDE7"/>
      </patternFill>
    </fill>
    <fill>
      <patternFill patternType="solid">
        <fgColor rgb="FFFFEBEE"/>
        <bgColor rgb="FFEDE7F6"/>
      </patternFill>
    </fill>
    <fill>
      <patternFill patternType="solid">
        <fgColor rgb="FFEDE7F6"/>
        <bgColor rgb="FFE3F2FD"/>
      </patternFill>
    </fill>
    <fill>
      <patternFill patternType="solid">
        <fgColor rgb="FFFFE0B2"/>
        <bgColor rgb="FFFFF3CD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8" fillId="16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2" fontId="10" fillId="9" borderId="3" xfId="0" applyNumberFormat="1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164" fontId="14" fillId="9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2" fontId="11" fillId="9" borderId="3" xfId="0" applyNumberFormat="1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top" wrapText="1"/>
    </xf>
    <xf numFmtId="0" fontId="8" fillId="14" borderId="2" xfId="0" applyFont="1" applyFill="1" applyBorder="1" applyAlignment="1">
      <alignment horizontal="left" vertical="top" wrapText="1"/>
    </xf>
    <xf numFmtId="0" fontId="8" fillId="15" borderId="2" xfId="0" applyFont="1" applyFill="1" applyBorder="1" applyAlignment="1">
      <alignment horizontal="left" vertical="top" wrapText="1"/>
    </xf>
    <xf numFmtId="0" fontId="8" fillId="16" borderId="2" xfId="0" applyFont="1" applyFill="1" applyBorder="1" applyAlignment="1">
      <alignment horizontal="left" vertical="top" wrapText="1"/>
    </xf>
    <xf numFmtId="0" fontId="19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22" fillId="17" borderId="2" xfId="0" applyFont="1" applyFill="1" applyBorder="1" applyAlignment="1">
      <alignment horizontal="center" vertical="center" wrapText="1"/>
    </xf>
    <xf numFmtId="0" fontId="20" fillId="17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22" fillId="15" borderId="2" xfId="0" applyFont="1" applyFill="1" applyBorder="1" applyAlignment="1">
      <alignment horizontal="center" vertical="center" wrapText="1"/>
    </xf>
    <xf numFmtId="0" fontId="20" fillId="15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0" fillId="18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B6914"/>
      <rgbColor rgb="FF800080"/>
      <rgbColor rgb="FF008080"/>
      <rgbColor rgb="FFEDE7F6"/>
      <rgbColor rgb="FF808080"/>
      <rgbColor rgb="FF9999FF"/>
      <rgbColor rgb="FF993366"/>
      <rgbColor rgb="FFFFF8E1"/>
      <rgbColor rgb="FFE3F2FD"/>
      <rgbColor rgb="FF6A1E55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8FC"/>
      <rgbColor rgb="FFFFF3CD"/>
      <rgbColor rgb="FFFFEBEE"/>
      <rgbColor rgb="FFFF99CC"/>
      <rgbColor rgb="FFCC99FF"/>
      <rgbColor rgb="FFFFE0B2"/>
      <rgbColor rgb="FF2E5FA3"/>
      <rgbColor rgb="FF33CCCC"/>
      <rgbColor rgb="FF99CC00"/>
      <rgbColor rgb="FFFFCC00"/>
      <rgbColor rgb="FFF9A825"/>
      <rgbColor rgb="FFE65100"/>
      <rgbColor rgb="FF555555"/>
      <rgbColor rgb="FFAAAAAA"/>
      <rgbColor rgb="FF003366"/>
      <rgbColor rgb="FF339966"/>
      <rgbColor rgb="FF003300"/>
      <rgbColor rgb="FF333300"/>
      <rgbColor rgb="FFB71C1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9A825"/>
  </sheetPr>
  <dimension ref="A1:L14"/>
  <sheetViews>
    <sheetView showGridLines="0" tabSelected="1" zoomScale="110" zoomScaleNormal="11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2" sqref="B12"/>
    </sheetView>
  </sheetViews>
  <sheetFormatPr baseColWidth="10" defaultColWidth="8.6640625" defaultRowHeight="15" x14ac:dyDescent="0.2"/>
  <cols>
    <col min="1" max="1" width="5" customWidth="1"/>
    <col min="2" max="2" width="38" customWidth="1"/>
    <col min="3" max="8" width="9" customWidth="1"/>
    <col min="9" max="9" width="11" customWidth="1"/>
    <col min="10" max="10" width="12" customWidth="1"/>
    <col min="11" max="11" width="11" customWidth="1"/>
    <col min="12" max="12" width="38" customWidth="1"/>
  </cols>
  <sheetData>
    <row r="1" spans="1:12" ht="31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customHeight="1" x14ac:dyDescent="0.2">
      <c r="A2" s="13" t="s">
        <v>1</v>
      </c>
      <c r="B2" s="13"/>
      <c r="C2" s="15" t="s">
        <v>2</v>
      </c>
      <c r="D2" s="15" t="s">
        <v>3</v>
      </c>
      <c r="E2" s="15" t="s">
        <v>3</v>
      </c>
      <c r="F2" s="15" t="s">
        <v>4</v>
      </c>
      <c r="G2" s="15" t="s">
        <v>5</v>
      </c>
      <c r="H2" s="15" t="s">
        <v>5</v>
      </c>
      <c r="I2" s="15" t="s">
        <v>6</v>
      </c>
      <c r="J2" s="16"/>
      <c r="K2" s="16"/>
      <c r="L2" s="16"/>
    </row>
    <row r="3" spans="1:12" ht="48" customHeight="1" x14ac:dyDescent="0.2">
      <c r="A3" s="17" t="s">
        <v>7</v>
      </c>
      <c r="B3" s="17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7" t="s">
        <v>13</v>
      </c>
      <c r="H3" s="17" t="s">
        <v>14</v>
      </c>
      <c r="I3" s="18" t="s">
        <v>15</v>
      </c>
      <c r="J3" s="19" t="s">
        <v>16</v>
      </c>
      <c r="K3" s="19" t="s">
        <v>17</v>
      </c>
      <c r="L3" s="17" t="s">
        <v>18</v>
      </c>
    </row>
    <row r="4" spans="1:12" ht="15" customHeight="1" x14ac:dyDescent="0.2">
      <c r="A4" s="12" t="s">
        <v>19</v>
      </c>
      <c r="B4" s="12"/>
      <c r="C4" s="20" t="s">
        <v>20</v>
      </c>
      <c r="D4" s="20" t="s">
        <v>21</v>
      </c>
      <c r="E4" s="20" t="s">
        <v>22</v>
      </c>
      <c r="F4" s="20" t="s">
        <v>23</v>
      </c>
      <c r="G4" s="20" t="s">
        <v>24</v>
      </c>
      <c r="H4" s="20" t="s">
        <v>25</v>
      </c>
      <c r="I4" s="16"/>
      <c r="J4" s="16"/>
      <c r="K4" s="16"/>
      <c r="L4" s="16"/>
    </row>
    <row r="5" spans="1:12" ht="36" customHeight="1" x14ac:dyDescent="0.2">
      <c r="A5" s="21">
        <v>1</v>
      </c>
      <c r="B5" s="22"/>
      <c r="C5" s="23"/>
      <c r="D5" s="23"/>
      <c r="E5" s="23"/>
      <c r="F5" s="23"/>
      <c r="G5" s="23"/>
      <c r="H5" s="23"/>
      <c r="I5" s="24" t="s">
        <v>26</v>
      </c>
      <c r="J5" s="25"/>
      <c r="K5" s="26" t="str">
        <f t="shared" ref="K5:K12" si="0">IF(J5="","—",IF(J5&gt;=90,"A",IF(J5&gt;=80,"AB",IF(J5&gt;=75,"B",IF(J5&gt;=70,"BC",IF(J5&gt;=65,"C","D"))))))</f>
        <v>—</v>
      </c>
      <c r="L5" s="27"/>
    </row>
    <row r="6" spans="1:12" ht="36" customHeight="1" x14ac:dyDescent="0.2">
      <c r="A6" s="28">
        <v>2</v>
      </c>
      <c r="B6" s="29"/>
      <c r="C6" s="23"/>
      <c r="D6" s="23"/>
      <c r="E6" s="23"/>
      <c r="F6" s="23"/>
      <c r="G6" s="23"/>
      <c r="H6" s="23"/>
      <c r="I6" s="24" t="s">
        <v>26</v>
      </c>
      <c r="J6" s="25"/>
      <c r="K6" s="26" t="str">
        <f t="shared" si="0"/>
        <v>—</v>
      </c>
      <c r="L6" s="27"/>
    </row>
    <row r="7" spans="1:12" ht="36" customHeight="1" x14ac:dyDescent="0.2">
      <c r="A7" s="21">
        <v>3</v>
      </c>
      <c r="B7" s="22"/>
      <c r="C7" s="23"/>
      <c r="D7" s="23"/>
      <c r="E7" s="23"/>
      <c r="F7" s="23"/>
      <c r="G7" s="23"/>
      <c r="H7" s="23"/>
      <c r="I7" s="24" t="s">
        <v>26</v>
      </c>
      <c r="J7" s="25"/>
      <c r="K7" s="26" t="str">
        <f t="shared" si="0"/>
        <v>—</v>
      </c>
      <c r="L7" s="27"/>
    </row>
    <row r="8" spans="1:12" ht="36" customHeight="1" x14ac:dyDescent="0.2">
      <c r="A8" s="28">
        <v>4</v>
      </c>
      <c r="B8" s="29"/>
      <c r="C8" s="23"/>
      <c r="D8" s="23"/>
      <c r="E8" s="23"/>
      <c r="F8" s="23"/>
      <c r="G8" s="23"/>
      <c r="H8" s="23"/>
      <c r="I8" s="24" t="s">
        <v>26</v>
      </c>
      <c r="J8" s="25"/>
      <c r="K8" s="26" t="str">
        <f t="shared" si="0"/>
        <v>—</v>
      </c>
      <c r="L8" s="27"/>
    </row>
    <row r="9" spans="1:12" ht="36" customHeight="1" x14ac:dyDescent="0.2">
      <c r="A9" s="21">
        <v>5</v>
      </c>
      <c r="B9" s="22"/>
      <c r="C9" s="23"/>
      <c r="D9" s="23"/>
      <c r="E9" s="23"/>
      <c r="F9" s="23"/>
      <c r="G9" s="23"/>
      <c r="H9" s="23"/>
      <c r="I9" s="24" t="s">
        <v>26</v>
      </c>
      <c r="J9" s="25"/>
      <c r="K9" s="26" t="str">
        <f t="shared" si="0"/>
        <v>—</v>
      </c>
      <c r="L9" s="27"/>
    </row>
    <row r="10" spans="1:12" ht="36" customHeight="1" x14ac:dyDescent="0.2">
      <c r="A10" s="28">
        <v>6</v>
      </c>
      <c r="B10" s="29"/>
      <c r="C10" s="23"/>
      <c r="D10" s="23"/>
      <c r="E10" s="23"/>
      <c r="F10" s="23"/>
      <c r="G10" s="23"/>
      <c r="H10" s="23"/>
      <c r="I10" s="24" t="s">
        <v>26</v>
      </c>
      <c r="J10" s="25"/>
      <c r="K10" s="26" t="str">
        <f t="shared" si="0"/>
        <v>—</v>
      </c>
      <c r="L10" s="27"/>
    </row>
    <row r="11" spans="1:12" ht="36" customHeight="1" x14ac:dyDescent="0.2">
      <c r="A11" s="21">
        <v>7</v>
      </c>
      <c r="B11" s="22"/>
      <c r="C11" s="23"/>
      <c r="D11" s="23"/>
      <c r="E11" s="23"/>
      <c r="F11" s="23"/>
      <c r="G11" s="23"/>
      <c r="H11" s="23"/>
      <c r="I11" s="24" t="s">
        <v>26</v>
      </c>
      <c r="J11" s="25"/>
      <c r="K11" s="26" t="str">
        <f t="shared" si="0"/>
        <v>—</v>
      </c>
      <c r="L11" s="27"/>
    </row>
    <row r="12" spans="1:12" ht="36" customHeight="1" x14ac:dyDescent="0.2">
      <c r="A12" s="28">
        <v>8</v>
      </c>
      <c r="B12" s="29"/>
      <c r="C12" s="23"/>
      <c r="D12" s="23"/>
      <c r="E12" s="23"/>
      <c r="F12" s="23"/>
      <c r="G12" s="23"/>
      <c r="H12" s="23"/>
      <c r="I12" s="24" t="s">
        <v>26</v>
      </c>
      <c r="J12" s="25"/>
      <c r="K12" s="26" t="str">
        <f t="shared" si="0"/>
        <v>—</v>
      </c>
      <c r="L12" s="27"/>
    </row>
    <row r="13" spans="1:12" ht="24" customHeight="1" x14ac:dyDescent="0.2">
      <c r="A13" s="11" t="s">
        <v>27</v>
      </c>
      <c r="B13" s="11"/>
      <c r="C13" s="30" t="str">
        <f t="shared" ref="C13:H13" si="1">IFERROR(AVERAGE(C5:C12),"")</f>
        <v/>
      </c>
      <c r="D13" s="30" t="str">
        <f t="shared" si="1"/>
        <v/>
      </c>
      <c r="E13" s="30" t="str">
        <f t="shared" si="1"/>
        <v/>
      </c>
      <c r="F13" s="30" t="str">
        <f t="shared" si="1"/>
        <v/>
      </c>
      <c r="G13" s="30" t="str">
        <f t="shared" si="1"/>
        <v/>
      </c>
      <c r="H13" s="30" t="str">
        <f t="shared" si="1"/>
        <v/>
      </c>
      <c r="I13" s="31"/>
      <c r="J13" s="32" t="str">
        <f>IFERROR(AVERAGE(J5:J12),"")</f>
        <v/>
      </c>
      <c r="K13" s="33" t="str">
        <f>COUNTIF(J5:J12,"&gt;=60")&amp;" lulus"</f>
        <v>0 lulus</v>
      </c>
      <c r="L13" s="31"/>
    </row>
    <row r="14" spans="1:12" ht="15" customHeight="1" x14ac:dyDescent="0.2">
      <c r="A14" s="10" t="s">
        <v>28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</sheetData>
  <mergeCells count="5">
    <mergeCell ref="A1:L1"/>
    <mergeCell ref="A2:B2"/>
    <mergeCell ref="A4:B4"/>
    <mergeCell ref="A13:B13"/>
    <mergeCell ref="A14:L14"/>
  </mergeCells>
  <dataValidations count="2">
    <dataValidation type="decimal" errorTitle="Input tidak valid" error="Nilai harus 0–100" promptTitle="Nilai" prompt="0 – 100" sqref="C5:H12" xr:uid="{00000000-0002-0000-0000-000000000000}">
      <formula1>0</formula1>
      <formula2>100</formula2>
    </dataValidation>
    <dataValidation type="list" sqref="I5:I12" xr:uid="{00000000-0002-0000-0000-000001000000}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B1:I32"/>
  <sheetViews>
    <sheetView showGridLines="0" zoomScale="95" zoomScaleNormal="95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3" customWidth="1"/>
    <col min="2" max="2" width="5" customWidth="1"/>
    <col min="3" max="3" width="9" customWidth="1"/>
    <col min="4" max="4" width="30" customWidth="1"/>
    <col min="5" max="5" width="8" customWidth="1"/>
    <col min="6" max="8" width="38" customWidth="1"/>
    <col min="9" max="9" width="35" customWidth="1"/>
    <col min="10" max="10" width="3" customWidth="1"/>
  </cols>
  <sheetData>
    <row r="1" spans="2:9" ht="31.5" customHeight="1" x14ac:dyDescent="0.2">
      <c r="B1" s="14" t="s">
        <v>29</v>
      </c>
      <c r="C1" s="14"/>
      <c r="D1" s="14"/>
      <c r="E1" s="14"/>
      <c r="F1" s="14"/>
      <c r="G1" s="14"/>
      <c r="H1" s="14"/>
      <c r="I1" s="14"/>
    </row>
    <row r="2" spans="2:9" ht="19.5" customHeight="1" x14ac:dyDescent="0.2">
      <c r="B2" s="9" t="s">
        <v>30</v>
      </c>
      <c r="C2" s="9"/>
      <c r="D2" s="9"/>
      <c r="E2" s="9"/>
      <c r="F2" s="9"/>
      <c r="G2" s="9"/>
      <c r="H2" s="9"/>
      <c r="I2" s="9"/>
    </row>
    <row r="4" spans="2:9" ht="24" customHeight="1" x14ac:dyDescent="0.2">
      <c r="B4" s="8" t="s">
        <v>31</v>
      </c>
      <c r="C4" s="8"/>
      <c r="D4" s="8"/>
      <c r="E4" s="8"/>
      <c r="F4" s="8"/>
      <c r="G4" s="8"/>
      <c r="H4" s="8"/>
      <c r="I4" s="8"/>
    </row>
    <row r="5" spans="2:9" ht="21.75" customHeight="1" x14ac:dyDescent="0.2">
      <c r="B5" s="17" t="s">
        <v>7</v>
      </c>
      <c r="C5" s="17" t="s">
        <v>32</v>
      </c>
      <c r="D5" s="17" t="s">
        <v>33</v>
      </c>
      <c r="E5" s="17" t="s">
        <v>34</v>
      </c>
      <c r="F5" s="19" t="s">
        <v>35</v>
      </c>
      <c r="G5" s="34" t="s">
        <v>36</v>
      </c>
      <c r="H5" s="35" t="s">
        <v>37</v>
      </c>
      <c r="I5" s="36" t="s">
        <v>38</v>
      </c>
    </row>
    <row r="6" spans="2:9" ht="99.75" customHeight="1" x14ac:dyDescent="0.2">
      <c r="B6" s="21" t="s">
        <v>39</v>
      </c>
      <c r="C6" s="37" t="s">
        <v>20</v>
      </c>
      <c r="D6" s="38" t="s">
        <v>40</v>
      </c>
      <c r="E6" s="39" t="s">
        <v>2</v>
      </c>
      <c r="F6" s="40" t="s">
        <v>41</v>
      </c>
      <c r="G6" s="41" t="s">
        <v>42</v>
      </c>
      <c r="H6" s="42" t="s">
        <v>43</v>
      </c>
      <c r="I6" s="43" t="s">
        <v>44</v>
      </c>
    </row>
    <row r="7" spans="2:9" ht="99.75" customHeight="1" x14ac:dyDescent="0.2">
      <c r="B7" s="28" t="s">
        <v>45</v>
      </c>
      <c r="C7" s="44" t="s">
        <v>21</v>
      </c>
      <c r="D7" s="45" t="s">
        <v>46</v>
      </c>
      <c r="E7" s="46" t="s">
        <v>3</v>
      </c>
      <c r="F7" s="40" t="s">
        <v>47</v>
      </c>
      <c r="G7" s="41" t="s">
        <v>48</v>
      </c>
      <c r="H7" s="42" t="s">
        <v>49</v>
      </c>
      <c r="I7" s="43" t="s">
        <v>50</v>
      </c>
    </row>
    <row r="8" spans="2:9" ht="99.75" customHeight="1" x14ac:dyDescent="0.2">
      <c r="B8" s="21" t="s">
        <v>51</v>
      </c>
      <c r="C8" s="37" t="s">
        <v>22</v>
      </c>
      <c r="D8" s="38" t="s">
        <v>52</v>
      </c>
      <c r="E8" s="39" t="s">
        <v>3</v>
      </c>
      <c r="F8" s="40" t="s">
        <v>53</v>
      </c>
      <c r="G8" s="41" t="s">
        <v>54</v>
      </c>
      <c r="H8" s="42" t="s">
        <v>55</v>
      </c>
      <c r="I8" s="43" t="s">
        <v>56</v>
      </c>
    </row>
    <row r="9" spans="2:9" ht="99.75" customHeight="1" x14ac:dyDescent="0.2">
      <c r="B9" s="28" t="s">
        <v>57</v>
      </c>
      <c r="C9" s="44" t="s">
        <v>23</v>
      </c>
      <c r="D9" s="45" t="s">
        <v>58</v>
      </c>
      <c r="E9" s="46" t="s">
        <v>4</v>
      </c>
      <c r="F9" s="40" t="s">
        <v>59</v>
      </c>
      <c r="G9" s="41" t="s">
        <v>60</v>
      </c>
      <c r="H9" s="42" t="s">
        <v>61</v>
      </c>
      <c r="I9" s="43" t="s">
        <v>62</v>
      </c>
    </row>
    <row r="10" spans="2:9" ht="99.75" customHeight="1" x14ac:dyDescent="0.2">
      <c r="B10" s="21" t="s">
        <v>63</v>
      </c>
      <c r="C10" s="37" t="s">
        <v>24</v>
      </c>
      <c r="D10" s="38" t="s">
        <v>64</v>
      </c>
      <c r="E10" s="39" t="s">
        <v>5</v>
      </c>
      <c r="F10" s="40" t="s">
        <v>65</v>
      </c>
      <c r="G10" s="41" t="s">
        <v>66</v>
      </c>
      <c r="H10" s="42" t="s">
        <v>67</v>
      </c>
      <c r="I10" s="43" t="s">
        <v>68</v>
      </c>
    </row>
    <row r="11" spans="2:9" ht="99.75" customHeight="1" x14ac:dyDescent="0.2">
      <c r="B11" s="28" t="s">
        <v>69</v>
      </c>
      <c r="C11" s="44" t="s">
        <v>25</v>
      </c>
      <c r="D11" s="45" t="s">
        <v>70</v>
      </c>
      <c r="E11" s="46" t="s">
        <v>5</v>
      </c>
      <c r="F11" s="40" t="s">
        <v>71</v>
      </c>
      <c r="G11" s="41" t="s">
        <v>72</v>
      </c>
      <c r="H11" s="42" t="s">
        <v>73</v>
      </c>
      <c r="I11" s="43" t="s">
        <v>74</v>
      </c>
    </row>
    <row r="13" spans="2:9" ht="24" customHeight="1" x14ac:dyDescent="0.2">
      <c r="B13" s="8" t="s">
        <v>75</v>
      </c>
      <c r="C13" s="8"/>
      <c r="D13" s="8"/>
      <c r="E13" s="8"/>
      <c r="F13" s="8"/>
      <c r="G13" s="8"/>
      <c r="H13" s="8"/>
      <c r="I13" s="8"/>
    </row>
    <row r="14" spans="2:9" ht="19.5" customHeight="1" x14ac:dyDescent="0.2">
      <c r="B14" s="17" t="s">
        <v>76</v>
      </c>
      <c r="C14" s="17" t="s">
        <v>77</v>
      </c>
      <c r="D14" s="17" t="s">
        <v>78</v>
      </c>
      <c r="E14" s="17" t="s">
        <v>79</v>
      </c>
      <c r="F14" s="7" t="s">
        <v>80</v>
      </c>
      <c r="G14" s="7"/>
      <c r="H14" s="7"/>
      <c r="I14" s="7"/>
    </row>
    <row r="15" spans="2:9" ht="30" customHeight="1" x14ac:dyDescent="0.2">
      <c r="B15" s="47" t="s">
        <v>81</v>
      </c>
      <c r="C15" s="48" t="s">
        <v>82</v>
      </c>
      <c r="D15" s="47" t="s">
        <v>83</v>
      </c>
      <c r="E15" s="49" t="s">
        <v>84</v>
      </c>
      <c r="F15" s="6" t="s">
        <v>85</v>
      </c>
      <c r="G15" s="6"/>
      <c r="H15" s="6"/>
      <c r="I15" s="6"/>
    </row>
    <row r="16" spans="2:9" ht="30" customHeight="1" x14ac:dyDescent="0.2">
      <c r="B16" s="50" t="s">
        <v>86</v>
      </c>
      <c r="C16" s="51" t="s">
        <v>87</v>
      </c>
      <c r="D16" s="50" t="s">
        <v>88</v>
      </c>
      <c r="E16" s="52" t="s">
        <v>89</v>
      </c>
      <c r="F16" s="5" t="s">
        <v>90</v>
      </c>
      <c r="G16" s="5"/>
      <c r="H16" s="5"/>
      <c r="I16" s="5"/>
    </row>
    <row r="17" spans="2:9" ht="30" customHeight="1" x14ac:dyDescent="0.2">
      <c r="B17" s="53" t="s">
        <v>91</v>
      </c>
      <c r="C17" s="54" t="s">
        <v>92</v>
      </c>
      <c r="D17" s="53" t="s">
        <v>93</v>
      </c>
      <c r="E17" s="55" t="s">
        <v>94</v>
      </c>
      <c r="F17" s="4" t="s">
        <v>95</v>
      </c>
      <c r="G17" s="4"/>
      <c r="H17" s="4"/>
      <c r="I17" s="4"/>
    </row>
    <row r="18" spans="2:9" ht="30" customHeight="1" x14ac:dyDescent="0.2">
      <c r="B18" s="56" t="s">
        <v>96</v>
      </c>
      <c r="C18" s="57" t="s">
        <v>97</v>
      </c>
      <c r="D18" s="56" t="s">
        <v>98</v>
      </c>
      <c r="E18" s="58" t="s">
        <v>99</v>
      </c>
      <c r="F18" s="3" t="s">
        <v>100</v>
      </c>
      <c r="G18" s="3"/>
      <c r="H18" s="3"/>
      <c r="I18" s="3"/>
    </row>
    <row r="19" spans="2:9" ht="30" customHeight="1" x14ac:dyDescent="0.2">
      <c r="B19" s="59" t="s">
        <v>101</v>
      </c>
      <c r="C19" s="60" t="s">
        <v>102</v>
      </c>
      <c r="D19" s="59" t="s">
        <v>103</v>
      </c>
      <c r="E19" s="61" t="s">
        <v>104</v>
      </c>
      <c r="F19" s="2" t="s">
        <v>105</v>
      </c>
      <c r="G19" s="2"/>
      <c r="H19" s="2"/>
      <c r="I19" s="2"/>
    </row>
    <row r="20" spans="2:9" ht="30" customHeight="1" x14ac:dyDescent="0.2">
      <c r="B20" s="62" t="s">
        <v>106</v>
      </c>
      <c r="C20" s="63" t="s">
        <v>107</v>
      </c>
      <c r="D20" s="62" t="s">
        <v>108</v>
      </c>
      <c r="E20" s="64" t="s">
        <v>109</v>
      </c>
      <c r="F20" s="1" t="s">
        <v>110</v>
      </c>
      <c r="G20" s="1"/>
      <c r="H20" s="1"/>
      <c r="I20" s="1"/>
    </row>
    <row r="22" spans="2:9" ht="24" customHeight="1" x14ac:dyDescent="0.2">
      <c r="B22" s="8" t="s">
        <v>111</v>
      </c>
      <c r="C22" s="8"/>
      <c r="D22" s="8"/>
      <c r="E22" s="8"/>
      <c r="F22" s="8"/>
      <c r="G22" s="8"/>
      <c r="H22" s="8"/>
      <c r="I22" s="8"/>
    </row>
    <row r="23" spans="2:9" ht="19.5" customHeight="1" x14ac:dyDescent="0.2">
      <c r="B23" s="18" t="s">
        <v>6</v>
      </c>
      <c r="C23" s="66" t="s">
        <v>112</v>
      </c>
      <c r="D23" s="66"/>
      <c r="E23" s="66"/>
      <c r="F23" s="66"/>
      <c r="G23" s="66"/>
      <c r="H23" s="66"/>
      <c r="I23" s="66"/>
    </row>
    <row r="24" spans="2:9" ht="36" customHeight="1" x14ac:dyDescent="0.2">
      <c r="B24" s="65" t="s">
        <v>113</v>
      </c>
      <c r="C24" s="67" t="s">
        <v>114</v>
      </c>
      <c r="D24" s="67"/>
      <c r="E24" s="67"/>
      <c r="F24" s="67"/>
      <c r="G24" s="67"/>
      <c r="H24" s="67"/>
      <c r="I24" s="67"/>
    </row>
    <row r="25" spans="2:9" ht="36" customHeight="1" x14ac:dyDescent="0.2">
      <c r="B25" s="65" t="s">
        <v>115</v>
      </c>
      <c r="C25" s="67" t="s">
        <v>116</v>
      </c>
      <c r="D25" s="67"/>
      <c r="E25" s="67"/>
      <c r="F25" s="67"/>
      <c r="G25" s="67"/>
      <c r="H25" s="67"/>
      <c r="I25" s="67"/>
    </row>
    <row r="27" spans="2:9" ht="24" customHeight="1" x14ac:dyDescent="0.2">
      <c r="B27" s="8" t="s">
        <v>117</v>
      </c>
      <c r="C27" s="8"/>
      <c r="D27" s="8"/>
      <c r="E27" s="8"/>
      <c r="F27" s="8"/>
      <c r="G27" s="8"/>
      <c r="H27" s="8"/>
      <c r="I27" s="8"/>
    </row>
    <row r="28" spans="2:9" ht="25.5" customHeight="1" x14ac:dyDescent="0.2">
      <c r="B28" s="68" t="s">
        <v>118</v>
      </c>
      <c r="C28" s="68"/>
      <c r="D28" s="68"/>
      <c r="E28" s="68"/>
      <c r="F28" s="68"/>
      <c r="G28" s="68"/>
      <c r="H28" s="68"/>
      <c r="I28" s="68"/>
    </row>
    <row r="29" spans="2:9" ht="25.5" customHeight="1" x14ac:dyDescent="0.2">
      <c r="B29" s="69" t="s">
        <v>119</v>
      </c>
      <c r="C29" s="69"/>
      <c r="D29" s="69"/>
      <c r="E29" s="69"/>
      <c r="F29" s="69"/>
      <c r="G29" s="69"/>
      <c r="H29" s="69"/>
      <c r="I29" s="69"/>
    </row>
    <row r="30" spans="2:9" ht="25.5" customHeight="1" x14ac:dyDescent="0.2">
      <c r="B30" s="68" t="s">
        <v>120</v>
      </c>
      <c r="C30" s="68"/>
      <c r="D30" s="68"/>
      <c r="E30" s="68"/>
      <c r="F30" s="68"/>
      <c r="G30" s="68"/>
      <c r="H30" s="68"/>
      <c r="I30" s="68"/>
    </row>
    <row r="31" spans="2:9" ht="25.5" customHeight="1" x14ac:dyDescent="0.2">
      <c r="B31" s="69" t="s">
        <v>121</v>
      </c>
      <c r="C31" s="69"/>
      <c r="D31" s="69"/>
      <c r="E31" s="69"/>
      <c r="F31" s="69"/>
      <c r="G31" s="69"/>
      <c r="H31" s="69"/>
      <c r="I31" s="69"/>
    </row>
    <row r="32" spans="2:9" ht="25.5" customHeight="1" x14ac:dyDescent="0.2">
      <c r="B32" s="68" t="s">
        <v>122</v>
      </c>
      <c r="C32" s="68"/>
      <c r="D32" s="68"/>
      <c r="E32" s="68"/>
      <c r="F32" s="68"/>
      <c r="G32" s="68"/>
      <c r="H32" s="68"/>
      <c r="I32" s="68"/>
    </row>
  </sheetData>
  <mergeCells count="21">
    <mergeCell ref="B32:I32"/>
    <mergeCell ref="B27:I27"/>
    <mergeCell ref="B28:I28"/>
    <mergeCell ref="B29:I29"/>
    <mergeCell ref="B30:I30"/>
    <mergeCell ref="B31:I31"/>
    <mergeCell ref="F20:I20"/>
    <mergeCell ref="B22:I22"/>
    <mergeCell ref="C23:I23"/>
    <mergeCell ref="C24:I24"/>
    <mergeCell ref="C25:I25"/>
    <mergeCell ref="F15:I15"/>
    <mergeCell ref="F16:I16"/>
    <mergeCell ref="F17:I17"/>
    <mergeCell ref="F18:I18"/>
    <mergeCell ref="F19:I19"/>
    <mergeCell ref="B1:I1"/>
    <mergeCell ref="B2:I2"/>
    <mergeCell ref="B4:I4"/>
    <mergeCell ref="B13:I13"/>
    <mergeCell ref="F14:I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Penilaian</vt:lpstr>
      <vt:lpstr>Rubrik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Fuad Dary Rosyadi</cp:lastModifiedBy>
  <cp:revision>0</cp:revision>
  <dcterms:created xsi:type="dcterms:W3CDTF">2026-06-18T00:47:17Z</dcterms:created>
  <dcterms:modified xsi:type="dcterms:W3CDTF">2026-06-18T01:06:56Z</dcterms:modified>
  <dc:language>en-US</dc:language>
</cp:coreProperties>
</file>